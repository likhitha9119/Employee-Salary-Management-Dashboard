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4ac6e66918f10f/Desktop/Employee-salary-Management-Dashboard/"/>
    </mc:Choice>
  </mc:AlternateContent>
  <xr:revisionPtr revIDLastSave="0" documentId="8_{B4406FBA-86A6-4CFE-BE69-5238795B4972}" xr6:coauthVersionLast="47" xr6:coauthVersionMax="47" xr10:uidLastSave="{00000000-0000-0000-0000-000000000000}"/>
  <bookViews>
    <workbookView xWindow="-108" yWindow="-108" windowWidth="23256" windowHeight="12456" activeTab="2" xr2:uid="{C5F95409-4A27-46DA-91EE-8010EB8704AB}"/>
  </bookViews>
  <sheets>
    <sheet name="Employee_Data" sheetId="1" r:id="rId1"/>
    <sheet name="Calculations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L3" i="3"/>
  <c r="I3" i="3"/>
  <c r="B9" i="3"/>
  <c r="B7" i="3"/>
  <c r="B5" i="3"/>
  <c r="B3" i="3"/>
  <c r="F3" i="2"/>
  <c r="F4" i="2"/>
  <c r="F5" i="2"/>
  <c r="F6" i="2"/>
  <c r="E3" i="2"/>
  <c r="E4" i="2"/>
  <c r="E5" i="2"/>
  <c r="E6" i="2"/>
  <c r="D3" i="2"/>
  <c r="D4" i="2"/>
  <c r="D5" i="2"/>
  <c r="D6" i="2"/>
  <c r="C3" i="2"/>
  <c r="C4" i="2"/>
  <c r="C5" i="2"/>
  <c r="C6" i="2"/>
  <c r="B3" i="2"/>
  <c r="B4" i="2"/>
  <c r="B5" i="2"/>
  <c r="B6" i="2"/>
  <c r="A3" i="2"/>
  <c r="A4" i="2"/>
  <c r="A5" i="2"/>
  <c r="A6" i="2"/>
  <c r="E2" i="2"/>
  <c r="D2" i="2"/>
  <c r="C2" i="2"/>
  <c r="F2" i="2"/>
  <c r="B2" i="2"/>
  <c r="A2" i="2"/>
</calcChain>
</file>

<file path=xl/sharedStrings.xml><?xml version="1.0" encoding="utf-8"?>
<sst xmlns="http://schemas.openxmlformats.org/spreadsheetml/2006/main" count="41" uniqueCount="36">
  <si>
    <t>Employee ID</t>
  </si>
  <si>
    <t>Employee Name</t>
  </si>
  <si>
    <t>Department</t>
  </si>
  <si>
    <t>Basic Salary</t>
  </si>
  <si>
    <t>HRA</t>
  </si>
  <si>
    <t>DA</t>
  </si>
  <si>
    <t>Bonus</t>
  </si>
  <si>
    <t>PF</t>
  </si>
  <si>
    <t>Tax</t>
  </si>
  <si>
    <t>Rating</t>
  </si>
  <si>
    <t>EMP001</t>
  </si>
  <si>
    <t>EMP002</t>
  </si>
  <si>
    <t>EMP003</t>
  </si>
  <si>
    <t>EMP004</t>
  </si>
  <si>
    <t>EMP005</t>
  </si>
  <si>
    <t>Rahul</t>
  </si>
  <si>
    <t>Priya</t>
  </si>
  <si>
    <t>Arjun</t>
  </si>
  <si>
    <t>Sneha</t>
  </si>
  <si>
    <t>Kiran</t>
  </si>
  <si>
    <t>IT</t>
  </si>
  <si>
    <t>HR</t>
  </si>
  <si>
    <t>Finance</t>
  </si>
  <si>
    <t>Sales</t>
  </si>
  <si>
    <t>Marketing</t>
  </si>
  <si>
    <t>Excellent</t>
  </si>
  <si>
    <t>Good</t>
  </si>
  <si>
    <t>Average</t>
  </si>
  <si>
    <t>Gross Salary</t>
  </si>
  <si>
    <t>Total Deduction</t>
  </si>
  <si>
    <t>Net Salry</t>
  </si>
  <si>
    <t>Employee Salary Management Dashboard</t>
  </si>
  <si>
    <t>Total Employees</t>
  </si>
  <si>
    <t>Lowest Net Salary</t>
  </si>
  <si>
    <t>Highest Net Salary</t>
  </si>
  <si>
    <t>Average 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</si>
</sst>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5" fillId="0" borderId="0" xfId="0" applyFont="1"/>
    <xf numFmtId="0" fontId="6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bg1"/>
                </a:solidFill>
              </a:rPr>
              <a:t>Employee</a:t>
            </a:r>
            <a:r>
              <a:rPr lang="en-US" sz="2400" b="1" baseline="0">
                <a:solidFill>
                  <a:schemeClr val="bg1"/>
                </a:solidFill>
              </a:rPr>
              <a:t> Salary Analysis</a:t>
            </a:r>
            <a:endParaRPr lang="en-US" sz="2400" b="1">
              <a:solidFill>
                <a:schemeClr val="bg1"/>
              </a:solidFill>
            </a:endParaRPr>
          </a:p>
        </c:rich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Calculations!$E$1</c:f>
              <c:strCache>
                <c:ptCount val="1"/>
                <c:pt idx="0">
                  <c:v>Net Salry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Calculations!$B$2:$B$6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Arjun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Calculations!$E$2:$E$6</c:f>
              <c:numCache>
                <c:formatCode>General</c:formatCode>
                <c:ptCount val="5"/>
                <c:pt idx="0">
                  <c:v>46000</c:v>
                </c:pt>
                <c:pt idx="1">
                  <c:v>39600</c:v>
                </c:pt>
                <c:pt idx="2">
                  <c:v>53200</c:v>
                </c:pt>
                <c:pt idx="3">
                  <c:v>36700</c:v>
                </c:pt>
                <c:pt idx="4">
                  <c:v>42500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7-4288-A25F-076F8E9E62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3610863"/>
        <c:axId val="1117854671"/>
      </c:barChart>
      <c:catAx>
        <c:axId val="111361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854671"/>
        <c:crosses val="autoZero"/>
        <c:auto val="1"/>
        <c:lblAlgn val="ctr"/>
        <c:lblOffset val="100"/>
        <c:noMultiLvlLbl val="0"/>
      </c:catAx>
      <c:valAx>
        <c:axId val="111785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61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259080</xdr:colOff>
      <xdr:row>3</xdr:row>
      <xdr:rowOff>15240</xdr:rowOff>
    </xdr:from>
    <xdr:to>
      <xdr:col>16</xdr:col>
      <xdr:colOff>518160</xdr:colOff>
      <xdr:row>26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9384BA-0C7E-4258-9D99-21CEC46DF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594360</xdr:colOff>
      <xdr:row>0</xdr:row>
      <xdr:rowOff>251460</xdr:rowOff>
    </xdr:from>
    <xdr:to>
      <xdr:col>9</xdr:col>
      <xdr:colOff>601980</xdr:colOff>
      <xdr:row>1</xdr:row>
      <xdr:rowOff>175260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EDC3DF6-1D31-8629-5273-789026D1705A}"/>
            </a:ext>
          </a:extLst>
        </xdr:cNvPr>
        <xdr:cNvSpPr/>
      </xdr:nvSpPr>
      <xdr:spPr>
        <a:xfrm>
          <a:off x="5600700" y="251460"/>
          <a:ext cx="1226820" cy="2209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Total</a:t>
          </a:r>
          <a:r>
            <a:rPr lang="en-IN" sz="1100" baseline="0"/>
            <a:t> Employees</a:t>
          </a:r>
          <a:endParaRPr lang="en-IN" sz="1100"/>
        </a:p>
      </xdr:txBody>
    </xdr:sp>
    <xdr:clientData/>
  </xdr:twoCellAnchor>
  <xdr:twoCellAnchor>
    <xdr:from>
      <xdr:col>14</xdr:col>
      <xdr:colOff>38100</xdr:colOff>
      <xdr:row>0</xdr:row>
      <xdr:rowOff>220980</xdr:rowOff>
    </xdr:from>
    <xdr:to>
      <xdr:col>14</xdr:col>
      <xdr:colOff>1089660</xdr:colOff>
      <xdr:row>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3DA546C-FF45-6AAE-D2FC-C780FC07162C}"/>
            </a:ext>
          </a:extLst>
        </xdr:cNvPr>
        <xdr:cNvSpPr/>
      </xdr:nvSpPr>
      <xdr:spPr>
        <a:xfrm>
          <a:off x="10066020" y="220980"/>
          <a:ext cx="1051560" cy="2590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Average</a:t>
          </a:r>
          <a:r>
            <a:rPr lang="en-IN" sz="1100" baseline="0"/>
            <a:t> Salary</a:t>
          </a:r>
          <a:endParaRPr lang="en-IN" sz="1100"/>
        </a:p>
      </xdr:txBody>
    </xdr:sp>
    <xdr:clientData/>
  </xdr:twoCellAnchor>
  <xdr:twoCellAnchor>
    <xdr:from>
      <xdr:col>11</xdr:col>
      <xdr:colOff>198120</xdr:colOff>
      <xdr:row>0</xdr:row>
      <xdr:rowOff>259080</xdr:rowOff>
    </xdr:from>
    <xdr:to>
      <xdr:col>11</xdr:col>
      <xdr:colOff>1112520</xdr:colOff>
      <xdr:row>2</xdr:row>
      <xdr:rowOff>15240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9AF030-36E7-5101-1854-1523638FC8C8}"/>
            </a:ext>
          </a:extLst>
        </xdr:cNvPr>
        <xdr:cNvSpPr/>
      </xdr:nvSpPr>
      <xdr:spPr>
        <a:xfrm>
          <a:off x="7642860" y="259080"/>
          <a:ext cx="914400" cy="2362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Total</a:t>
          </a:r>
          <a:r>
            <a:rPr lang="en-IN" sz="1100" baseline="0"/>
            <a:t> Salary</a:t>
          </a:r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6C6D7-1677-4D83-BD0E-F2607A05A385}" name="Table1" displayName="Table1" ref="A1:F6" totalsRowShown="0" headerRowDxfId="12" dataDxfId="10" headerRowBorderDxfId="11" tableBorderDxfId="9" totalsRowBorderDxfId="8">
  <autoFilter ref="A1:F6" xr:uid="{35A6C6D7-1677-4D83-BD0E-F2607A05A385}"/>
  <tableColumns count="6">
    <tableColumn id="1" xr3:uid="{AECF54EE-8781-4DC6-99FC-4FB1AFC56038}" name="Employee ID" dataDxfId="7">
      <calculatedColumnFormula>Employee_Data!A2</calculatedColumnFormula>
    </tableColumn>
    <tableColumn id="2" xr3:uid="{57760B1D-0FB8-41FE-B539-4EC6EBBCDF40}" name="Employee Name" dataDxfId="6">
      <calculatedColumnFormula>Employee_Data!B2</calculatedColumnFormula>
    </tableColumn>
    <tableColumn id="3" xr3:uid="{D013B1DC-4CDF-4BDF-8A54-AA2270B25458}" name="Gross Salary" dataDxfId="5">
      <calculatedColumnFormula>SUM(Employee_Data!D2:G2)</calculatedColumnFormula>
    </tableColumn>
    <tableColumn id="4" xr3:uid="{13B09CBF-5C2A-4DF1-8B7D-934C107BDCDA}" name="Total Deduction" dataDxfId="4">
      <calculatedColumnFormula>SUM(Employee_Data!H2:I2)</calculatedColumnFormula>
    </tableColumn>
    <tableColumn id="5" xr3:uid="{8A3ECAE7-643F-4B01-89BD-920F93701A43}" name="Net Salry" dataDxfId="3">
      <calculatedColumnFormula>C2-D2</calculatedColumnFormula>
    </tableColumn>
    <tableColumn id="6" xr3:uid="{EE7F5779-B7AF-4A79-8BB5-4504B851487B}" name="Rating" dataDxfId="2">
      <calculatedColumnFormula>Employee_Data!J2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BDB3-2CF6-491E-BF5B-7717BAF1DDE9}">
  <dimension ref="A1:K6"/>
  <sheetViews>
    <sheetView workbookViewId="0">
      <selection activeCell="F3" sqref="F3"/>
    </sheetView>
  </sheetViews>
  <sheetFormatPr defaultRowHeight="14.4" x14ac:dyDescent="0.3"/>
  <cols>
    <col min="1" max="1" width="17.5546875" customWidth="1"/>
    <col min="2" max="2" width="16.21875" customWidth="1"/>
    <col min="3" max="3" width="14.44140625" customWidth="1"/>
    <col min="4" max="4" width="14.33203125" customWidth="1"/>
    <col min="10" max="10" width="11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spans="1:11" x14ac:dyDescent="0.3">
      <c r="A2" s="3" t="s">
        <v>10</v>
      </c>
      <c r="B2" s="3" t="s">
        <v>15</v>
      </c>
      <c r="C2" s="3" t="s">
        <v>20</v>
      </c>
      <c r="D2" s="3">
        <v>35000</v>
      </c>
      <c r="E2" s="3">
        <v>7000</v>
      </c>
      <c r="F2" s="3">
        <v>5000</v>
      </c>
      <c r="G2" s="3">
        <v>3000</v>
      </c>
      <c r="H2" s="3">
        <v>2500</v>
      </c>
      <c r="I2" s="3">
        <v>1500</v>
      </c>
      <c r="J2" s="3" t="s">
        <v>25</v>
      </c>
    </row>
    <row r="3" spans="1:11" x14ac:dyDescent="0.3">
      <c r="A3" s="3" t="s">
        <v>11</v>
      </c>
      <c r="B3" s="3" t="s">
        <v>16</v>
      </c>
      <c r="C3" s="3" t="s">
        <v>21</v>
      </c>
      <c r="D3" s="3">
        <v>30000</v>
      </c>
      <c r="E3" s="3">
        <v>6000</v>
      </c>
      <c r="F3" s="3">
        <v>4500</v>
      </c>
      <c r="G3" s="3">
        <v>2500</v>
      </c>
      <c r="H3" s="3">
        <v>2200</v>
      </c>
      <c r="I3" s="3">
        <v>1200</v>
      </c>
      <c r="J3" s="3" t="s">
        <v>26</v>
      </c>
    </row>
    <row r="4" spans="1:11" x14ac:dyDescent="0.3">
      <c r="A4" s="3" t="s">
        <v>12</v>
      </c>
      <c r="B4" s="3" t="s">
        <v>17</v>
      </c>
      <c r="C4" s="3" t="s">
        <v>22</v>
      </c>
      <c r="D4" s="3">
        <v>40000</v>
      </c>
      <c r="E4" s="3">
        <v>8000</v>
      </c>
      <c r="F4" s="3">
        <v>6000</v>
      </c>
      <c r="G4" s="3">
        <v>4000</v>
      </c>
      <c r="H4" s="3">
        <v>3000</v>
      </c>
      <c r="I4" s="3">
        <v>1800</v>
      </c>
      <c r="J4" s="3" t="s">
        <v>25</v>
      </c>
    </row>
    <row r="5" spans="1:11" x14ac:dyDescent="0.3">
      <c r="A5" s="3" t="s">
        <v>13</v>
      </c>
      <c r="B5" s="3" t="s">
        <v>18</v>
      </c>
      <c r="C5" s="3" t="s">
        <v>23</v>
      </c>
      <c r="D5" s="3">
        <v>28000</v>
      </c>
      <c r="E5" s="3">
        <v>5500</v>
      </c>
      <c r="F5" s="3">
        <v>4200</v>
      </c>
      <c r="G5" s="3">
        <v>2000</v>
      </c>
      <c r="H5" s="3">
        <v>2000</v>
      </c>
      <c r="I5" s="3">
        <v>1000</v>
      </c>
      <c r="J5" s="3" t="s">
        <v>27</v>
      </c>
    </row>
    <row r="6" spans="1:11" x14ac:dyDescent="0.3">
      <c r="A6" s="3" t="s">
        <v>14</v>
      </c>
      <c r="B6" s="3" t="s">
        <v>19</v>
      </c>
      <c r="C6" s="3" t="s">
        <v>24</v>
      </c>
      <c r="D6" s="3">
        <v>32000</v>
      </c>
      <c r="E6" s="3">
        <v>6500</v>
      </c>
      <c r="F6" s="3">
        <v>4800</v>
      </c>
      <c r="G6" s="3">
        <v>2800</v>
      </c>
      <c r="H6" s="3">
        <v>2300</v>
      </c>
      <c r="I6" s="3">
        <v>1300</v>
      </c>
      <c r="J6" s="3" t="s">
        <v>26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3004-E2E0-4088-BE1A-54B85FEE6AC0}">
  <dimension ref="A1:F6"/>
  <sheetViews>
    <sheetView workbookViewId="0">
      <selection activeCell="E1" sqref="E1:E6"/>
    </sheetView>
  </sheetViews>
  <sheetFormatPr defaultRowHeight="14.4" x14ac:dyDescent="0.3"/>
  <cols>
    <col min="1" max="1" width="17.109375" customWidth="1"/>
    <col min="2" max="2" width="16.6640625" customWidth="1"/>
    <col min="3" max="3" width="17.44140625" customWidth="1"/>
    <col min="4" max="4" width="17.77734375" customWidth="1"/>
    <col min="5" max="6" width="14.44140625" customWidth="1"/>
  </cols>
  <sheetData>
    <row r="1" spans="1:6" x14ac:dyDescent="0.3">
      <c r="A1" s="6" t="s">
        <v>0</v>
      </c>
      <c r="B1" s="7" t="s">
        <v>1</v>
      </c>
      <c r="C1" s="7" t="s">
        <v>28</v>
      </c>
      <c r="D1" s="7" t="s">
        <v>29</v>
      </c>
      <c r="E1" s="7" t="s">
        <v>30</v>
      </c>
      <c r="F1" s="8" t="s">
        <v>9</v>
      </c>
    </row>
    <row r="2" spans="1:6" x14ac:dyDescent="0.3">
      <c r="A2" s="4" t="str">
        <f>Employee_Data!A2</f>
        <v>EMP001</v>
      </c>
      <c r="B2" s="3" t="str">
        <f>Employee_Data!B2</f>
        <v>Rahul</v>
      </c>
      <c r="C2" s="3">
        <f>SUM(Employee_Data!D2:G2)</f>
        <v>50000</v>
      </c>
      <c r="D2" s="3">
        <f>SUM(Employee_Data!H2:I2)</f>
        <v>4000</v>
      </c>
      <c r="E2" s="3">
        <f>C2-D2</f>
        <v>46000</v>
      </c>
      <c r="F2" s="5" t="str">
        <f>Employee_Data!J2</f>
        <v>Excellent</v>
      </c>
    </row>
    <row r="3" spans="1:6" x14ac:dyDescent="0.3">
      <c r="A3" s="4" t="str">
        <f>Employee_Data!A3</f>
        <v>EMP002</v>
      </c>
      <c r="B3" s="3" t="str">
        <f>Employee_Data!B3</f>
        <v>Priya</v>
      </c>
      <c r="C3" s="3">
        <f>SUM(Employee_Data!D3:G3)</f>
        <v>43000</v>
      </c>
      <c r="D3" s="3">
        <f>SUM(Employee_Data!H3:I3)</f>
        <v>3400</v>
      </c>
      <c r="E3" s="3">
        <f t="shared" ref="E3:E6" si="0">C3-D3</f>
        <v>39600</v>
      </c>
      <c r="F3" s="5" t="str">
        <f>Employee_Data!J3</f>
        <v>Good</v>
      </c>
    </row>
    <row r="4" spans="1:6" x14ac:dyDescent="0.3">
      <c r="A4" s="4" t="str">
        <f>Employee_Data!A4</f>
        <v>EMP003</v>
      </c>
      <c r="B4" s="3" t="str">
        <f>Employee_Data!B4</f>
        <v>Arjun</v>
      </c>
      <c r="C4" s="3">
        <f>SUM(Employee_Data!D4:G4)</f>
        <v>58000</v>
      </c>
      <c r="D4" s="3">
        <f>SUM(Employee_Data!H4:I4)</f>
        <v>4800</v>
      </c>
      <c r="E4" s="3">
        <f t="shared" si="0"/>
        <v>53200</v>
      </c>
      <c r="F4" s="5" t="str">
        <f>Employee_Data!J4</f>
        <v>Excellent</v>
      </c>
    </row>
    <row r="5" spans="1:6" x14ac:dyDescent="0.3">
      <c r="A5" s="4" t="str">
        <f>Employee_Data!A5</f>
        <v>EMP004</v>
      </c>
      <c r="B5" s="3" t="str">
        <f>Employee_Data!B5</f>
        <v>Sneha</v>
      </c>
      <c r="C5" s="3">
        <f>SUM(Employee_Data!D5:G5)</f>
        <v>39700</v>
      </c>
      <c r="D5" s="3">
        <f>SUM(Employee_Data!H5:I5)</f>
        <v>3000</v>
      </c>
      <c r="E5" s="3">
        <f t="shared" si="0"/>
        <v>36700</v>
      </c>
      <c r="F5" s="5" t="str">
        <f>Employee_Data!J5</f>
        <v>Average</v>
      </c>
    </row>
    <row r="6" spans="1:6" x14ac:dyDescent="0.3">
      <c r="A6" s="9" t="str">
        <f>Employee_Data!A6</f>
        <v>EMP005</v>
      </c>
      <c r="B6" s="10" t="str">
        <f>Employee_Data!B6</f>
        <v>Kiran</v>
      </c>
      <c r="C6" s="10">
        <f>SUM(Employee_Data!D6:G6)</f>
        <v>46100</v>
      </c>
      <c r="D6" s="10">
        <f>SUM(Employee_Data!H6:I6)</f>
        <v>3600</v>
      </c>
      <c r="E6" s="10">
        <f t="shared" si="0"/>
        <v>42500</v>
      </c>
      <c r="F6" s="11" t="str">
        <f>Employee_Data!J6</f>
        <v>Good</v>
      </c>
    </row>
  </sheetData>
  <conditionalFormatting sqref="E2:E6">
    <cfRule type="cellIs" dxfId="1" priority="1" operator="lessThan">
      <formula>40000</formula>
    </cfRule>
    <cfRule type="cellIs" dxfId="0" priority="2" operator="greaterThan">
      <formula>50000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6FDFD-29BC-461B-A875-DED88A6E3824}">
  <dimension ref="A1:O9"/>
  <sheetViews>
    <sheetView tabSelected="1" workbookViewId="0">
      <selection activeCell="E6" sqref="E6"/>
    </sheetView>
  </sheetViews>
  <sheetFormatPr defaultRowHeight="14.4" x14ac:dyDescent="0.3"/>
  <cols>
    <col min="1" max="1" width="18.109375" customWidth="1"/>
    <col min="2" max="2" width="10.44140625" bestFit="1" customWidth="1"/>
    <col min="12" max="12" width="19.88671875" bestFit="1" customWidth="1"/>
    <col min="15" max="15" width="17.21875" bestFit="1" customWidth="1"/>
  </cols>
  <sheetData>
    <row r="1" spans="1:15" ht="23.4" x14ac:dyDescent="0.45">
      <c r="A1" s="13" t="s">
        <v>31</v>
      </c>
      <c r="B1" s="14"/>
      <c r="C1" s="14"/>
      <c r="D1" s="14"/>
      <c r="E1" s="14"/>
      <c r="F1" s="14"/>
      <c r="G1" s="14"/>
      <c r="M1" s="15"/>
    </row>
    <row r="3" spans="1:15" ht="25.8" x14ac:dyDescent="0.5">
      <c r="A3" s="16" t="s">
        <v>32</v>
      </c>
      <c r="B3">
        <f>COUNTA(Calculations!A2:A6)</f>
        <v>5</v>
      </c>
      <c r="I3" s="17">
        <f>COUNTA(Employee_Data!A2:A6)</f>
        <v>5</v>
      </c>
      <c r="L3" s="18">
        <f>SUM(Calculations!E2:E6)</f>
        <v>218000</v>
      </c>
      <c r="O3" s="18">
        <f>AVERAGE(Calculations!E2:E6)</f>
        <v>43600</v>
      </c>
    </row>
    <row r="5" spans="1:15" x14ac:dyDescent="0.3">
      <c r="A5" s="16" t="s">
        <v>34</v>
      </c>
      <c r="B5" s="15">
        <f>MAX(Calculations!E2:E6)</f>
        <v>53200</v>
      </c>
    </row>
    <row r="6" spans="1:15" x14ac:dyDescent="0.3">
      <c r="J6" s="12"/>
    </row>
    <row r="7" spans="1:15" x14ac:dyDescent="0.3">
      <c r="A7" s="16" t="s">
        <v>33</v>
      </c>
      <c r="B7" s="15">
        <f>MIN(Calculations!E2:E6)</f>
        <v>36700</v>
      </c>
    </row>
    <row r="9" spans="1:15" x14ac:dyDescent="0.3">
      <c r="A9" s="16" t="s">
        <v>35</v>
      </c>
      <c r="B9" s="15">
        <f>AVERAGE(Calculations!E2:E6)</f>
        <v>43600</v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Employee_Data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sahitha</dc:creator>
  <cp:lastModifiedBy>sushma sahitha</cp:lastModifiedBy>
  <dcterms:created xsi:type="dcterms:W3CDTF">2026-08-01T14:43:27Z</dcterms:created>
  <dcterms:modified xsi:type="dcterms:W3CDTF">2026-08-02T09:47:16Z</dcterms:modified>
</cp:coreProperties>
</file>